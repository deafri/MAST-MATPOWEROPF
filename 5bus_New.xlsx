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SYD\Y3S2\ELEC4712\MAST-julia-main(5 Bus)\MAST-julia-main\models\"/>
    </mc:Choice>
  </mc:AlternateContent>
  <xr:revisionPtr revIDLastSave="0" documentId="13_ncr:1_{6D135A1B-AE2B-40DE-AA8F-2CFF11602BC5}" xr6:coauthVersionLast="47" xr6:coauthVersionMax="47" xr10:uidLastSave="{00000000-0000-0000-0000-000000000000}"/>
  <bookViews>
    <workbookView xWindow="768" yWindow="3360" windowWidth="17280" windowHeight="8880" activeTab="3" xr2:uid="{609F6487-E44D-42E0-A32D-22F076EA5C19}"/>
  </bookViews>
  <sheets>
    <sheet name="Generator Data" sheetId="1" r:id="rId1"/>
    <sheet name="Branch Data" sheetId="3" r:id="rId2"/>
    <sheet name="Bus Data" sheetId="2" r:id="rId3"/>
    <sheet name="Utility Storage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9" i="3"/>
  <c r="F3" i="3"/>
  <c r="F4" i="3"/>
  <c r="F5" i="3"/>
  <c r="F6" i="3"/>
  <c r="F7" i="3"/>
  <c r="F8" i="3"/>
  <c r="F2" i="3"/>
  <c r="O4" i="1"/>
  <c r="N2" i="1"/>
  <c r="O2" i="1" s="1"/>
  <c r="O3" i="1"/>
  <c r="N5" i="1"/>
  <c r="O5" i="1" s="1"/>
  <c r="M2" i="1"/>
  <c r="M4" i="1"/>
  <c r="M5" i="1"/>
  <c r="M3" i="1"/>
</calcChain>
</file>

<file path=xl/sharedStrings.xml><?xml version="1.0" encoding="utf-8"?>
<sst xmlns="http://schemas.openxmlformats.org/spreadsheetml/2006/main" count="144" uniqueCount="93">
  <si>
    <t>Generator Name</t>
  </si>
  <si>
    <t>Location Bus</t>
  </si>
  <si>
    <t>Number of Units</t>
  </si>
  <si>
    <t>Connected to Grid</t>
  </si>
  <si>
    <t>Apparent Power Rating (MVA)</t>
  </si>
  <si>
    <t>Fix Cost ($)</t>
  </si>
  <si>
    <t>Start up Cost ($)</t>
  </si>
  <si>
    <t>Shut down Cost ($)</t>
  </si>
  <si>
    <t>Variable Cost ($/MW)</t>
  </si>
  <si>
    <t>Maximum Real Power (MW)</t>
  </si>
  <si>
    <t>Minimum Real Power (MW)</t>
  </si>
  <si>
    <t>Maximum Reactive Power (MVar)</t>
  </si>
  <si>
    <t>Minimum Reactive Power (MVar)</t>
  </si>
  <si>
    <t>Ramp Up Rate (MW/h)</t>
  </si>
  <si>
    <t>Ramp Down Rate (MW/h)</t>
  </si>
  <si>
    <t>MUT (hour)</t>
  </si>
  <si>
    <t>MDT (hour)</t>
  </si>
  <si>
    <t>Generation Type</t>
  </si>
  <si>
    <t>Plot Color</t>
  </si>
  <si>
    <t>Generation Tech</t>
  </si>
  <si>
    <t>HUB</t>
  </si>
  <si>
    <t>Red</t>
  </si>
  <si>
    <t>Wind</t>
  </si>
  <si>
    <t>Blue</t>
  </si>
  <si>
    <t>Coal</t>
  </si>
  <si>
    <t>NSW</t>
  </si>
  <si>
    <t>Black Coal</t>
  </si>
  <si>
    <t>Gas</t>
  </si>
  <si>
    <t>SA</t>
  </si>
  <si>
    <t>Green</t>
  </si>
  <si>
    <t>Bus Name</t>
  </si>
  <si>
    <t>Bus Region</t>
  </si>
  <si>
    <t>Sub-region</t>
  </si>
  <si>
    <t>REZ</t>
  </si>
  <si>
    <t>Bus Type</t>
  </si>
  <si>
    <t>Demand Trace Weightage</t>
  </si>
  <si>
    <t>Power Factor</t>
  </si>
  <si>
    <t>Prosumer Demand (%)</t>
  </si>
  <si>
    <t>Rooftop PV Capacity (MW)</t>
  </si>
  <si>
    <t>Feedin Price Ratio</t>
  </si>
  <si>
    <t>Maximum Battery Capacity (MWh)</t>
  </si>
  <si>
    <t>Minimum Battery Capacity (MWh)</t>
  </si>
  <si>
    <t>Maximum Charge Rate (MW/h)</t>
  </si>
  <si>
    <t>Maximum Discharge Rate (MW/h)</t>
  </si>
  <si>
    <t>Battery Efficiency (%)</t>
  </si>
  <si>
    <t>Minimum Voltage (pu)</t>
  </si>
  <si>
    <t>Maximum Voltage (pu)</t>
  </si>
  <si>
    <t>Base_kV</t>
  </si>
  <si>
    <t>Demand Trace Name</t>
  </si>
  <si>
    <t>Wind Trace Name</t>
  </si>
  <si>
    <t>PV Trace Name</t>
  </si>
  <si>
    <t>CST Trace Name</t>
  </si>
  <si>
    <t>Rooftop PV Trace Name</t>
  </si>
  <si>
    <t>NSW_RefYear_2023_STEP_CHANGE_POE10_OPSO_MODELLING1</t>
  </si>
  <si>
    <t>N0_WM_NSW_Non-REZ_RefYear4006</t>
  </si>
  <si>
    <t>NSW_RefYear_2023_STEP_CHANGE_POE10_PV</t>
  </si>
  <si>
    <t>QLD</t>
  </si>
  <si>
    <t>QLD_RefYear_2023_STEP_CHANGE_POE10_OPSO_MODELLING</t>
  </si>
  <si>
    <t>SA_RefYear_2023_STEP_CHANGE_POE10_OPSO_MODELLING</t>
  </si>
  <si>
    <t>VIC</t>
  </si>
  <si>
    <t>VIC_RefYear_2023_STEP_CHANGE_POE10_OPSO_MODELLING</t>
  </si>
  <si>
    <t>L1</t>
  </si>
  <si>
    <t>AC</t>
  </si>
  <si>
    <t>L2</t>
  </si>
  <si>
    <t>L3</t>
  </si>
  <si>
    <t xml:space="preserve">NSW </t>
  </si>
  <si>
    <t>L4</t>
  </si>
  <si>
    <t>L5</t>
  </si>
  <si>
    <t>L6</t>
  </si>
  <si>
    <t>L7</t>
  </si>
  <si>
    <t>Line Name</t>
  </si>
  <si>
    <t>End 1 Bus Name</t>
  </si>
  <si>
    <t>End 2 Bus Name</t>
  </si>
  <si>
    <t>In Service</t>
  </si>
  <si>
    <t>Resistance (pu)</t>
  </si>
  <si>
    <t>Reactance (pu)</t>
  </si>
  <si>
    <t>Susceptance (pu)</t>
  </si>
  <si>
    <t>Thermal Limit (MVA)</t>
  </si>
  <si>
    <t>Nature of Line</t>
  </si>
  <si>
    <t>Maximum Angle Limit (degree)</t>
  </si>
  <si>
    <t>Utility Storage Name</t>
  </si>
  <si>
    <t>Maximum Storage Capacity (MWh)</t>
  </si>
  <si>
    <t>Minimum Storage Capacity (MWh)</t>
  </si>
  <si>
    <t>Charging Efficiency (%)</t>
  </si>
  <si>
    <t>Discharging Efficiency (%)</t>
  </si>
  <si>
    <t>Purple</t>
  </si>
  <si>
    <t>REZ_N0_NSW_Non-REZ_CST_RefYear4006</t>
  </si>
  <si>
    <t>CST</t>
  </si>
  <si>
    <t>Black</t>
  </si>
  <si>
    <t>VPP Battery</t>
  </si>
  <si>
    <t>VPP</t>
  </si>
  <si>
    <t xml:space="preserve">L8 </t>
  </si>
  <si>
    <t>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</si>
</sst>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D435-8194-4EC3-B985-56B3E34EA592}">
  <dimension ref="A1:T5"/>
  <sheetViews>
    <sheetView workbookViewId="0">
      <selection activeCell="E15" sqref="E15"/>
    </sheetView>
  </sheetViews>
  <sheetFormatPr defaultRowHeight="14.4" x14ac:dyDescent="0.3"/>
  <sheetData>
    <row r="1" spans="1:20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87</v>
      </c>
      <c r="B2" t="s">
        <v>20</v>
      </c>
      <c r="C2">
        <v>1</v>
      </c>
      <c r="D2">
        <v>1</v>
      </c>
      <c r="E2">
        <v>20000</v>
      </c>
      <c r="F2">
        <v>1</v>
      </c>
      <c r="G2">
        <v>0</v>
      </c>
      <c r="H2">
        <v>0</v>
      </c>
      <c r="I2">
        <v>60</v>
      </c>
      <c r="J2">
        <v>12500</v>
      </c>
      <c r="K2">
        <v>0</v>
      </c>
      <c r="L2">
        <v>10000</v>
      </c>
      <c r="M2">
        <f t="shared" ref="M2:M4" si="0">-L2</f>
        <v>-10000</v>
      </c>
      <c r="N2">
        <f>J2</f>
        <v>12500</v>
      </c>
      <c r="O2">
        <f>N2</f>
        <v>12500</v>
      </c>
      <c r="P2">
        <v>0</v>
      </c>
      <c r="Q2">
        <v>0</v>
      </c>
      <c r="R2">
        <v>2</v>
      </c>
      <c r="S2" t="s">
        <v>21</v>
      </c>
      <c r="T2" t="s">
        <v>87</v>
      </c>
    </row>
    <row r="3" spans="1:20" x14ac:dyDescent="0.3">
      <c r="A3" t="s">
        <v>22</v>
      </c>
      <c r="B3" t="s">
        <v>20</v>
      </c>
      <c r="C3">
        <v>1</v>
      </c>
      <c r="D3">
        <v>1</v>
      </c>
      <c r="E3">
        <v>20000</v>
      </c>
      <c r="F3">
        <v>1</v>
      </c>
      <c r="G3">
        <v>0</v>
      </c>
      <c r="H3">
        <v>0</v>
      </c>
      <c r="I3">
        <v>80</v>
      </c>
      <c r="J3">
        <v>15000</v>
      </c>
      <c r="K3">
        <v>0</v>
      </c>
      <c r="L3">
        <v>7500</v>
      </c>
      <c r="M3">
        <f>-L3</f>
        <v>-7500</v>
      </c>
      <c r="N3">
        <v>10000</v>
      </c>
      <c r="O3">
        <f>N3</f>
        <v>10000</v>
      </c>
      <c r="P3">
        <v>0</v>
      </c>
      <c r="Q3">
        <v>0</v>
      </c>
      <c r="R3">
        <v>2</v>
      </c>
      <c r="S3" t="s">
        <v>23</v>
      </c>
      <c r="T3" t="s">
        <v>22</v>
      </c>
    </row>
    <row r="4" spans="1:20" x14ac:dyDescent="0.3">
      <c r="A4" t="s">
        <v>24</v>
      </c>
      <c r="B4" t="s">
        <v>25</v>
      </c>
      <c r="C4">
        <v>8</v>
      </c>
      <c r="D4">
        <v>1</v>
      </c>
      <c r="E4">
        <v>20000</v>
      </c>
      <c r="F4">
        <v>400</v>
      </c>
      <c r="G4">
        <v>100000</v>
      </c>
      <c r="H4">
        <v>10000</v>
      </c>
      <c r="I4">
        <v>75</v>
      </c>
      <c r="J4">
        <v>3000</v>
      </c>
      <c r="K4">
        <v>1500</v>
      </c>
      <c r="L4">
        <v>600</v>
      </c>
      <c r="M4">
        <f t="shared" si="0"/>
        <v>-600</v>
      </c>
      <c r="N4">
        <v>210</v>
      </c>
      <c r="O4">
        <f>N4</f>
        <v>210</v>
      </c>
      <c r="P4">
        <v>8</v>
      </c>
      <c r="Q4">
        <v>8</v>
      </c>
      <c r="R4">
        <v>1</v>
      </c>
      <c r="S4" t="s">
        <v>88</v>
      </c>
      <c r="T4" t="s">
        <v>26</v>
      </c>
    </row>
    <row r="5" spans="1:20" x14ac:dyDescent="0.3">
      <c r="A5" t="s">
        <v>27</v>
      </c>
      <c r="B5" t="s">
        <v>28</v>
      </c>
      <c r="C5">
        <v>10</v>
      </c>
      <c r="D5">
        <v>1</v>
      </c>
      <c r="E5">
        <v>20000</v>
      </c>
      <c r="F5">
        <v>200</v>
      </c>
      <c r="G5">
        <v>30000</v>
      </c>
      <c r="H5">
        <v>3000</v>
      </c>
      <c r="I5">
        <v>100</v>
      </c>
      <c r="J5">
        <v>1500</v>
      </c>
      <c r="K5">
        <v>500</v>
      </c>
      <c r="L5">
        <v>450</v>
      </c>
      <c r="M5">
        <f>-L5</f>
        <v>-450</v>
      </c>
      <c r="N5">
        <f>0.4*J5</f>
        <v>600</v>
      </c>
      <c r="O5">
        <f>N5</f>
        <v>600</v>
      </c>
      <c r="P5">
        <v>2</v>
      </c>
      <c r="Q5">
        <v>2</v>
      </c>
      <c r="R5">
        <v>1</v>
      </c>
      <c r="S5" t="s">
        <v>29</v>
      </c>
      <c r="T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B2BC-91A9-471F-8888-8B16F641E482}">
  <dimension ref="A1:J10"/>
  <sheetViews>
    <sheetView workbookViewId="0">
      <selection activeCell="G14" sqref="G14"/>
    </sheetView>
  </sheetViews>
  <sheetFormatPr defaultRowHeight="14.4" x14ac:dyDescent="0.3"/>
  <sheetData>
    <row r="1" spans="1:10" ht="57.6" x14ac:dyDescent="0.3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3">
      <c r="A2" t="s">
        <v>61</v>
      </c>
      <c r="B2" t="s">
        <v>20</v>
      </c>
      <c r="C2" t="s">
        <v>25</v>
      </c>
      <c r="D2">
        <v>1</v>
      </c>
      <c r="E2">
        <v>8.4000000000000003E-4</v>
      </c>
      <c r="F2">
        <f>0.000084*10</f>
        <v>8.3999999999999993E-4</v>
      </c>
      <c r="G2">
        <v>0.81699999999999995</v>
      </c>
      <c r="H2">
        <v>4700</v>
      </c>
      <c r="I2" t="s">
        <v>62</v>
      </c>
      <c r="J2">
        <v>0.6109</v>
      </c>
    </row>
    <row r="3" spans="1:10" x14ac:dyDescent="0.3">
      <c r="A3" t="s">
        <v>63</v>
      </c>
      <c r="B3" t="s">
        <v>20</v>
      </c>
      <c r="C3" t="s">
        <v>56</v>
      </c>
      <c r="D3">
        <v>1</v>
      </c>
      <c r="E3">
        <v>8.4000000000000003E-4</v>
      </c>
      <c r="F3">
        <f t="shared" ref="F3:F10" si="0">0.000084*10</f>
        <v>8.3999999999999993E-4</v>
      </c>
      <c r="G3">
        <v>0.81699999999999995</v>
      </c>
      <c r="H3">
        <v>4700</v>
      </c>
      <c r="I3" t="s">
        <v>62</v>
      </c>
      <c r="J3">
        <v>0.6109</v>
      </c>
    </row>
    <row r="4" spans="1:10" x14ac:dyDescent="0.3">
      <c r="A4" t="s">
        <v>64</v>
      </c>
      <c r="B4" t="s">
        <v>65</v>
      </c>
      <c r="C4" t="s">
        <v>56</v>
      </c>
      <c r="D4">
        <v>1</v>
      </c>
      <c r="E4">
        <v>8.4000000000000003E-4</v>
      </c>
      <c r="F4">
        <f t="shared" si="0"/>
        <v>8.3999999999999993E-4</v>
      </c>
      <c r="G4">
        <v>0.81699999999999995</v>
      </c>
      <c r="H4">
        <v>4700</v>
      </c>
      <c r="I4" t="s">
        <v>62</v>
      </c>
      <c r="J4">
        <v>0.6109</v>
      </c>
    </row>
    <row r="5" spans="1:10" x14ac:dyDescent="0.3">
      <c r="A5" t="s">
        <v>66</v>
      </c>
      <c r="B5" t="s">
        <v>65</v>
      </c>
      <c r="C5" t="s">
        <v>28</v>
      </c>
      <c r="D5">
        <v>1</v>
      </c>
      <c r="E5">
        <v>8.4000000000000003E-4</v>
      </c>
      <c r="F5">
        <f t="shared" si="0"/>
        <v>8.3999999999999993E-4</v>
      </c>
      <c r="G5">
        <v>0.81699999999999995</v>
      </c>
      <c r="H5">
        <v>4700</v>
      </c>
      <c r="I5" t="s">
        <v>62</v>
      </c>
      <c r="J5">
        <v>0.6109</v>
      </c>
    </row>
    <row r="6" spans="1:10" x14ac:dyDescent="0.3">
      <c r="A6" t="s">
        <v>67</v>
      </c>
      <c r="B6" t="s">
        <v>65</v>
      </c>
      <c r="C6" t="s">
        <v>59</v>
      </c>
      <c r="D6">
        <v>1</v>
      </c>
      <c r="E6">
        <v>8.4000000000000003E-4</v>
      </c>
      <c r="F6">
        <f t="shared" si="0"/>
        <v>8.3999999999999993E-4</v>
      </c>
      <c r="G6">
        <v>0.81699999999999995</v>
      </c>
      <c r="H6">
        <v>4700</v>
      </c>
      <c r="I6" t="s">
        <v>62</v>
      </c>
      <c r="J6">
        <v>0.6109</v>
      </c>
    </row>
    <row r="7" spans="1:10" x14ac:dyDescent="0.3">
      <c r="A7" t="s">
        <v>68</v>
      </c>
      <c r="B7" t="s">
        <v>56</v>
      </c>
      <c r="C7" t="s">
        <v>28</v>
      </c>
      <c r="D7">
        <v>1</v>
      </c>
      <c r="E7">
        <v>8.4000000000000003E-4</v>
      </c>
      <c r="F7">
        <f t="shared" si="0"/>
        <v>8.3999999999999993E-4</v>
      </c>
      <c r="G7">
        <v>0.81699999999999995</v>
      </c>
      <c r="H7">
        <v>4700</v>
      </c>
      <c r="I7" t="s">
        <v>62</v>
      </c>
      <c r="J7">
        <v>0.6109</v>
      </c>
    </row>
    <row r="8" spans="1:10" x14ac:dyDescent="0.3">
      <c r="A8" t="s">
        <v>69</v>
      </c>
      <c r="B8" t="s">
        <v>28</v>
      </c>
      <c r="C8" t="s">
        <v>59</v>
      </c>
      <c r="D8">
        <v>1</v>
      </c>
      <c r="E8">
        <v>8.4000000000000003E-4</v>
      </c>
      <c r="F8">
        <f t="shared" si="0"/>
        <v>8.3999999999999993E-4</v>
      </c>
      <c r="G8">
        <v>0.81699999999999995</v>
      </c>
      <c r="H8">
        <v>4700</v>
      </c>
      <c r="I8" t="s">
        <v>62</v>
      </c>
      <c r="J8">
        <v>0.6109</v>
      </c>
    </row>
    <row r="9" spans="1:10" x14ac:dyDescent="0.3">
      <c r="A9" t="s">
        <v>91</v>
      </c>
      <c r="B9" t="s">
        <v>90</v>
      </c>
      <c r="C9" t="s">
        <v>25</v>
      </c>
      <c r="D9">
        <v>1</v>
      </c>
      <c r="E9">
        <v>8.4000000000000003E-4</v>
      </c>
      <c r="F9">
        <f t="shared" si="0"/>
        <v>8.3999999999999993E-4</v>
      </c>
      <c r="G9">
        <v>0.81699999999999995</v>
      </c>
      <c r="H9">
        <v>4700</v>
      </c>
      <c r="I9" t="s">
        <v>62</v>
      </c>
      <c r="J9">
        <v>0.6109</v>
      </c>
    </row>
    <row r="10" spans="1:10" x14ac:dyDescent="0.3">
      <c r="A10" t="s">
        <v>92</v>
      </c>
      <c r="B10" t="s">
        <v>90</v>
      </c>
      <c r="C10" t="s">
        <v>56</v>
      </c>
      <c r="D10">
        <v>1</v>
      </c>
      <c r="E10">
        <v>8.4000000000000003E-4</v>
      </c>
      <c r="F10">
        <f t="shared" si="0"/>
        <v>8.3999999999999993E-4</v>
      </c>
      <c r="G10">
        <v>0.81699999999999995</v>
      </c>
      <c r="H10">
        <v>4700</v>
      </c>
      <c r="I10" t="s">
        <v>62</v>
      </c>
      <c r="J10">
        <v>0.6109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A350-5A9C-4B07-98B5-B1E807144D5E}">
  <dimension ref="A1:W7"/>
  <sheetViews>
    <sheetView zoomScale="70" zoomScaleNormal="70" workbookViewId="0">
      <selection activeCell="F7" sqref="F7"/>
    </sheetView>
  </sheetViews>
  <sheetFormatPr defaultRowHeight="14.4" x14ac:dyDescent="0.3"/>
  <sheetData>
    <row r="1" spans="1:23" ht="57.6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</row>
    <row r="2" spans="1:23" s="1" customFormat="1" ht="115.2" x14ac:dyDescent="0.3">
      <c r="A2" s="1" t="s">
        <v>20</v>
      </c>
      <c r="B2" s="1" t="s">
        <v>25</v>
      </c>
      <c r="C2" s="3"/>
      <c r="E2" s="1">
        <v>0</v>
      </c>
      <c r="F2" s="1">
        <v>0</v>
      </c>
      <c r="G2" s="1">
        <v>0.9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97</v>
      </c>
      <c r="P2" s="1">
        <v>0.95</v>
      </c>
      <c r="Q2" s="1">
        <v>1.05</v>
      </c>
      <c r="R2" s="1">
        <v>330</v>
      </c>
      <c r="S2" s="1" t="s">
        <v>53</v>
      </c>
      <c r="T2" s="1" t="s">
        <v>54</v>
      </c>
      <c r="U2" s="1" t="s">
        <v>86</v>
      </c>
      <c r="V2" s="1" t="s">
        <v>86</v>
      </c>
      <c r="W2" s="1" t="s">
        <v>55</v>
      </c>
    </row>
    <row r="3" spans="1:23" s="1" customFormat="1" ht="115.2" x14ac:dyDescent="0.3">
      <c r="A3" s="1" t="s">
        <v>25</v>
      </c>
      <c r="B3" s="1" t="s">
        <v>25</v>
      </c>
      <c r="C3" s="3"/>
      <c r="E3" s="1">
        <v>0</v>
      </c>
      <c r="F3" s="1">
        <v>1</v>
      </c>
      <c r="G3" s="1">
        <v>0.9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85</v>
      </c>
      <c r="P3" s="1">
        <v>0.95</v>
      </c>
      <c r="Q3" s="1">
        <v>1.05</v>
      </c>
      <c r="R3" s="1">
        <v>330</v>
      </c>
      <c r="S3" s="1" t="s">
        <v>53</v>
      </c>
      <c r="T3" s="1" t="s">
        <v>54</v>
      </c>
      <c r="U3" s="1" t="s">
        <v>86</v>
      </c>
      <c r="V3" s="1" t="s">
        <v>86</v>
      </c>
      <c r="W3" s="1" t="s">
        <v>55</v>
      </c>
    </row>
    <row r="4" spans="1:23" s="1" customFormat="1" ht="100.8" x14ac:dyDescent="0.3">
      <c r="A4" s="1" t="s">
        <v>56</v>
      </c>
      <c r="B4" s="1" t="s">
        <v>56</v>
      </c>
      <c r="C4" s="3"/>
      <c r="E4" s="1">
        <v>0</v>
      </c>
      <c r="F4" s="1">
        <v>1</v>
      </c>
      <c r="G4" s="1">
        <v>0.9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97</v>
      </c>
      <c r="P4" s="1">
        <v>0.95</v>
      </c>
      <c r="Q4" s="1">
        <v>1.05</v>
      </c>
      <c r="R4" s="1">
        <v>330</v>
      </c>
      <c r="S4" s="1" t="s">
        <v>57</v>
      </c>
    </row>
    <row r="5" spans="1:23" s="1" customFormat="1" ht="100.8" x14ac:dyDescent="0.3">
      <c r="A5" s="1" t="s">
        <v>28</v>
      </c>
      <c r="B5" s="1" t="s">
        <v>28</v>
      </c>
      <c r="C5" s="3"/>
      <c r="E5" s="1">
        <v>0</v>
      </c>
      <c r="F5" s="1">
        <v>1</v>
      </c>
      <c r="G5" s="1">
        <v>0.9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97</v>
      </c>
      <c r="P5" s="1">
        <v>0.95</v>
      </c>
      <c r="Q5" s="1">
        <v>1.05</v>
      </c>
      <c r="R5" s="1">
        <v>330</v>
      </c>
      <c r="S5" s="1" t="s">
        <v>58</v>
      </c>
    </row>
    <row r="6" spans="1:23" s="1" customFormat="1" ht="100.8" x14ac:dyDescent="0.3">
      <c r="A6" s="1" t="s">
        <v>59</v>
      </c>
      <c r="B6" s="1" t="s">
        <v>59</v>
      </c>
      <c r="C6" s="3"/>
      <c r="E6" s="1">
        <v>0</v>
      </c>
      <c r="F6" s="1">
        <v>1</v>
      </c>
      <c r="G6" s="1">
        <v>0.9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97</v>
      </c>
      <c r="P6" s="1">
        <v>0.95</v>
      </c>
      <c r="Q6" s="1">
        <v>1.05</v>
      </c>
      <c r="R6" s="1">
        <v>330</v>
      </c>
      <c r="S6" s="1" t="s">
        <v>60</v>
      </c>
    </row>
    <row r="7" spans="1:23" s="1" customFormat="1" ht="115.2" x14ac:dyDescent="0.3">
      <c r="A7" s="1" t="s">
        <v>90</v>
      </c>
      <c r="B7" s="1" t="s">
        <v>25</v>
      </c>
      <c r="C7" s="3"/>
      <c r="E7" s="1">
        <v>0</v>
      </c>
      <c r="F7" s="1">
        <v>0</v>
      </c>
      <c r="G7" s="1">
        <v>0.9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85</v>
      </c>
      <c r="P7" s="1">
        <v>0.95</v>
      </c>
      <c r="Q7" s="1">
        <v>1.05</v>
      </c>
      <c r="R7" s="1">
        <v>330</v>
      </c>
      <c r="S7" s="1" t="s">
        <v>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5245-A78D-4F10-898B-FED2B903CD21}">
  <dimension ref="A1:J2"/>
  <sheetViews>
    <sheetView tabSelected="1" workbookViewId="0">
      <selection activeCell="C3" sqref="C3"/>
    </sheetView>
  </sheetViews>
  <sheetFormatPr defaultRowHeight="14.4" x14ac:dyDescent="0.3"/>
  <sheetData>
    <row r="1" spans="1:10" ht="57.6" x14ac:dyDescent="0.3">
      <c r="A1" s="1" t="s">
        <v>80</v>
      </c>
      <c r="B1" s="1" t="s">
        <v>1</v>
      </c>
      <c r="C1" s="1" t="s">
        <v>3</v>
      </c>
      <c r="D1" s="1" t="s">
        <v>81</v>
      </c>
      <c r="E1" s="1" t="s">
        <v>82</v>
      </c>
      <c r="F1" s="1" t="s">
        <v>42</v>
      </c>
      <c r="G1" s="1" t="s">
        <v>43</v>
      </c>
      <c r="H1" s="1" t="s">
        <v>83</v>
      </c>
      <c r="I1" s="1" t="s">
        <v>84</v>
      </c>
      <c r="J1" s="1" t="s">
        <v>18</v>
      </c>
    </row>
    <row r="2" spans="1:10" x14ac:dyDescent="0.3">
      <c r="A2" t="s">
        <v>89</v>
      </c>
      <c r="B2" t="s">
        <v>90</v>
      </c>
      <c r="C2">
        <v>1</v>
      </c>
      <c r="D2" s="2">
        <v>10000</v>
      </c>
      <c r="E2">
        <v>1000</v>
      </c>
      <c r="F2">
        <v>2500</v>
      </c>
      <c r="G2">
        <v>2500</v>
      </c>
      <c r="H2">
        <v>85</v>
      </c>
      <c r="I2">
        <v>85</v>
      </c>
      <c r="J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Generator Data</vt:lpstr>
      <vt:lpstr>Branch Data</vt:lpstr>
      <vt:lpstr>Bus Data</vt:lpstr>
      <vt:lpstr>Utility Storage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Chester Pe</dc:creator>
  <cp:lastModifiedBy>Ralph Chester Pe</cp:lastModifiedBy>
  <dcterms:created xsi:type="dcterms:W3CDTF">2025-09-13T15:08:15Z</dcterms:created>
  <dcterms:modified xsi:type="dcterms:W3CDTF">2026-04-20T06:38:58Z</dcterms:modified>
</cp:coreProperties>
</file>